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BA4586-E0F1-4D9F-9C7F-7198D56CD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醫療團" sheetId="1" r:id="rId1"/>
    <sheet name="醫生訓練" sheetId="4" r:id="rId2"/>
    <sheet name="更新設備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B9" i="4"/>
  <c r="D56" i="1"/>
  <c r="E56" i="1" l="1"/>
  <c r="G56" i="1"/>
  <c r="F56" i="1"/>
</calcChain>
</file>

<file path=xl/sharedStrings.xml><?xml version="1.0" encoding="utf-8"?>
<sst xmlns="http://schemas.openxmlformats.org/spreadsheetml/2006/main" count="155" uniqueCount="128">
  <si>
    <t>Аймаг
省份</t>
  </si>
  <si>
    <t>хүн амын
 тоо
省份人口</t>
  </si>
  <si>
    <t>онсар
出團日期</t>
  </si>
  <si>
    <t>үзлэгийн 
тоо
門診數量</t>
  </si>
  <si>
    <t>хагалгааны тоо/手術數量</t>
  </si>
  <si>
    <t>эрүү нүүр
臉面科</t>
  </si>
  <si>
    <t>уролог
泌尿科</t>
  </si>
  <si>
    <t>чхх
耳鼻喉科</t>
  </si>
  <si>
    <t>Архангай 
后杭愛省-453公里</t>
  </si>
  <si>
    <t>Баян-Өлгий
巴彥烏列蓋省 
1636公里</t>
  </si>
  <si>
    <t>總預算</t>
  </si>
  <si>
    <t>巴彥烏列蓋省</t>
  </si>
  <si>
    <t>蘇赫巴托省</t>
  </si>
  <si>
    <t>烏布蘇省</t>
  </si>
  <si>
    <t>庫蘇古爾省</t>
  </si>
  <si>
    <t>扎布杭省</t>
  </si>
  <si>
    <t>鄂爾汗省</t>
  </si>
  <si>
    <t>戈壁阿爾泰省</t>
  </si>
  <si>
    <t>巴彥洪戈爾省</t>
  </si>
  <si>
    <t>東方省</t>
  </si>
  <si>
    <t>南戈壁省</t>
  </si>
  <si>
    <t xml:space="preserve">Баянхонгор
巴彥洪戈爾省
630公里
</t>
  </si>
  <si>
    <t>后杭愛省</t>
  </si>
  <si>
    <t>中隔壁省</t>
  </si>
  <si>
    <t>布爾汗省</t>
  </si>
  <si>
    <t>前杭愛省</t>
  </si>
  <si>
    <t>科布多省</t>
  </si>
  <si>
    <t>Булган
布爾汗省-318公里</t>
  </si>
  <si>
    <t>Говь-Алтай
戈壁阿爾泰省
1100公里</t>
  </si>
  <si>
    <t>東隔壁省</t>
  </si>
  <si>
    <t>肯特省</t>
  </si>
  <si>
    <t>covid19</t>
  </si>
  <si>
    <t>Говьсүмбэр-250公里
戈壁蘇木貝爾省</t>
  </si>
  <si>
    <t>Дархан-Уул達爾汗-219公里</t>
  </si>
  <si>
    <t>巴彥烏列蓋省 /39</t>
  </si>
  <si>
    <t>蘇赫巴托省/40</t>
  </si>
  <si>
    <t>科布多省/41</t>
  </si>
  <si>
    <t>Дорноговь-463公里
東隔壁省</t>
  </si>
  <si>
    <t>戈壁阿爾泰省/42</t>
  </si>
  <si>
    <t>庫蘇古爾省/43</t>
  </si>
  <si>
    <t>巴彥洪戈爾省/44</t>
  </si>
  <si>
    <t>鄂爾汗省/45</t>
  </si>
  <si>
    <t>Дорнод
東方省-463公里</t>
  </si>
  <si>
    <t>烏布蘇省/46</t>
  </si>
  <si>
    <t>后杭愛省/47</t>
  </si>
  <si>
    <t>扎布杭省/48</t>
  </si>
  <si>
    <t>巴彥烏列蓋/49</t>
  </si>
  <si>
    <t>Дундговь
中隔壁省-260公里</t>
  </si>
  <si>
    <t>Завхан
扎布杭省-803公里</t>
  </si>
  <si>
    <t>Орхон
鄂爾汗省-371公里</t>
  </si>
  <si>
    <t>Өвөрхангай
前杭愛省-430公里</t>
  </si>
  <si>
    <t>Өмнөговь
南戈壁省-553公里</t>
  </si>
  <si>
    <t>Сүхбаатар
蘇赫巴托省-560公里</t>
  </si>
  <si>
    <t>Сэлэнгэ色楞格省-311公里</t>
  </si>
  <si>
    <t>Төв中央省-43公里</t>
  </si>
  <si>
    <t>Увс
烏布蘇省-1336公里</t>
  </si>
  <si>
    <t>Ховд
科布多省-1425公里</t>
  </si>
  <si>
    <t>Хөвсгөл
庫蘇古爾省
671公里</t>
  </si>
  <si>
    <t>Хэнтий-肯特省-331公里</t>
  </si>
  <si>
    <t>申請單位</t>
  </si>
  <si>
    <t>人數</t>
  </si>
  <si>
    <t>科別</t>
  </si>
  <si>
    <t>時間</t>
  </si>
  <si>
    <t>提供費用</t>
  </si>
  <si>
    <t>首都牙齒中心</t>
  </si>
  <si>
    <t>牙科</t>
  </si>
  <si>
    <t>4*7-8</t>
  </si>
  <si>
    <t>交通費</t>
  </si>
  <si>
    <t>前杭愛省醫院復健醫師</t>
  </si>
  <si>
    <t>復健科</t>
  </si>
  <si>
    <t>婦幼醫院</t>
  </si>
  <si>
    <t>臉面，麻醉，心臟科，耳鼻喉科</t>
  </si>
  <si>
    <t>復健中心</t>
  </si>
  <si>
    <t>燙傷中心</t>
  </si>
  <si>
    <t>急救外科</t>
  </si>
  <si>
    <t>中央省醫院</t>
  </si>
  <si>
    <t>眼科醫生</t>
  </si>
  <si>
    <t>2023.11-2024.01</t>
  </si>
  <si>
    <t>全金額</t>
  </si>
  <si>
    <t>復健中心長</t>
  </si>
  <si>
    <t>哈弗大學，醫院管理</t>
  </si>
  <si>
    <t>年份</t>
  </si>
  <si>
    <t>提供器材-1</t>
  </si>
  <si>
    <t>提供器材-2</t>
  </si>
  <si>
    <t>提供器材-3</t>
  </si>
  <si>
    <t>提供器材-4</t>
  </si>
  <si>
    <t>提供器材-5</t>
  </si>
  <si>
    <t>提供器材-6</t>
  </si>
  <si>
    <t>提供器材-7</t>
  </si>
  <si>
    <t>提供器材-8</t>
  </si>
  <si>
    <t>首都牙齒，臉面中心
牙齒治療臺/包含熒幕等/-2臺</t>
  </si>
  <si>
    <t>婦幼醫院-臉面外科手術工具</t>
  </si>
  <si>
    <t>庫蘇古爾省醫院-眼科器材</t>
  </si>
  <si>
    <t>KH區大醫院-矯正室整修，所器材</t>
  </si>
  <si>
    <t>首都牙齒臉面中心-消毒器</t>
  </si>
  <si>
    <t>第55特殊中學
治療室器材/含按摩床、復健器材、視力檢查儀、物理治療儀/</t>
  </si>
  <si>
    <t>巴彥烏列蓋醫院-臉面外科手術工具</t>
  </si>
  <si>
    <t>復健中心消毒室器材</t>
  </si>
  <si>
    <t>布拉甘省-Bayan-agt小鎮醫院-
尿液分析儀和血液分析儀</t>
  </si>
  <si>
    <t>婦幼醫院-泌尿科-內鏡手術器材</t>
  </si>
  <si>
    <t>ZM省眼科，門診器材</t>
  </si>
  <si>
    <t>燙傷中心-Nano 專用噴霧器</t>
  </si>
  <si>
    <t>嬰兒療養所-復健器材</t>
  </si>
  <si>
    <t>復健中心線路設備器及安裝相關工程</t>
  </si>
  <si>
    <t xml:space="preserve"> </t>
  </si>
  <si>
    <t>戈壁阿爾泰省, Tsogt小鎮
醫院婦產科一套</t>
  </si>
  <si>
    <t>庫蘇古爾省Tsagaan-uul 小鎮
醫院婦產科一套器材</t>
  </si>
  <si>
    <t>烏布蘇省-Undurkhangai小鎮
醫院婦產科一套</t>
  </si>
  <si>
    <t>科布多省-Bulgan小鎮
醫院婦產科一套</t>
  </si>
  <si>
    <t>Sk 區域急救室-訓練工具</t>
  </si>
  <si>
    <t>戈壁阿爾泰省醫院
臉面科手術工具</t>
  </si>
  <si>
    <t>巴彥烏列蓋省醫院
急救室設備</t>
  </si>
  <si>
    <t>庫蘇古爾省復健中心
兒童復健器材</t>
  </si>
  <si>
    <t>巴彥烏列蓋省-Ulaankhus 小鎮醫院 婦產科器材/離省份45公里/</t>
  </si>
  <si>
    <t>巴彥烏列蓋省-Nogoon nuur小鎮醫院 婦產科器材 /離省份110公里/</t>
  </si>
  <si>
    <t>扎布汗省 Tosontsengel小鎮醫院 
婦產科一套器材</t>
  </si>
  <si>
    <t>扎布汗省 Telmen小鎮醫院 
婦產科一套器材</t>
  </si>
  <si>
    <t>后杭愛省-Tariat 小鎮醫院
牙科治療相關器材</t>
  </si>
  <si>
    <t>CH 區域兒童重症監護室-</t>
  </si>
  <si>
    <t>肯特省手術科
手術床</t>
  </si>
  <si>
    <t>第一婦產醫院-胎兒監護儀-3臺</t>
  </si>
  <si>
    <t>庫蘇古爾省身心障礙人士發展中心-水療浴缸，電泳儀</t>
  </si>
  <si>
    <t>后杭愛省綜合大醫院,臉面手術科臉面器材和手術室器材</t>
  </si>
  <si>
    <t>東方省綜合大醫院，臉面手術科手術工具</t>
  </si>
  <si>
    <t>烏布蘇省綜合大醫院-牙科治療檯</t>
  </si>
  <si>
    <t>扎布杭省 -內鏡手術器材，凝血儀器</t>
  </si>
  <si>
    <t>巴彥烏列蓋省-嬰兒科-消毒器、脈動器、藥品冰箱、嬰兒床</t>
  </si>
  <si>
    <t>第一醫院：內鏡手術器材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</si>
</sst>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PMingLiU"/>
      <family val="1"/>
    </font>
    <font>
      <sz val="12"/>
      <color rgb="FF000000"/>
      <name val="新細明體"/>
      <family val="1"/>
      <charset val="136"/>
    </font>
    <font>
      <sz val="11"/>
      <color rgb="FFFF0000"/>
      <name val="Calibri"/>
      <family val="2"/>
    </font>
    <font>
      <sz val="12"/>
      <color rgb="FFFF0000"/>
      <name val="PMingLiU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/>
    </xf>
    <xf numFmtId="177" fontId="0" fillId="0" borderId="1" xfId="1" applyNumberFormat="1" applyFont="1" applyBorder="1" applyAlignment="1">
      <alignment horizontal="center" vertical="center"/>
    </xf>
    <xf numFmtId="177" fontId="0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4" xfId="0" applyFont="1" applyBorder="1" applyAlignment="1">
      <alignment horizontal="center"/>
    </xf>
    <xf numFmtId="3" fontId="7" fillId="0" borderId="1" xfId="0" applyNumberFormat="1" applyFont="1" applyBorder="1"/>
    <xf numFmtId="3" fontId="7" fillId="0" borderId="3" xfId="0" applyNumberFormat="1" applyFont="1" applyBorder="1"/>
    <xf numFmtId="3" fontId="5" fillId="0" borderId="3" xfId="0" applyNumberFormat="1" applyFont="1" applyBorder="1"/>
    <xf numFmtId="3" fontId="8" fillId="0" borderId="3" xfId="0" applyNumberFormat="1" applyFont="1" applyBorder="1"/>
    <xf numFmtId="3" fontId="6" fillId="0" borderId="3" xfId="0" applyNumberFormat="1" applyFont="1" applyBorder="1"/>
    <xf numFmtId="3" fontId="6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12" xfId="0" applyBorder="1"/>
    <xf numFmtId="3" fontId="6" fillId="0" borderId="4" xfId="0" applyNumberFormat="1" applyFont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77" fontId="0" fillId="0" borderId="2" xfId="1" applyNumberFormat="1" applyFont="1" applyBorder="1" applyAlignment="1">
      <alignment horizontal="center" vertical="center"/>
    </xf>
    <xf numFmtId="177" fontId="0" fillId="0" borderId="4" xfId="1" applyNumberFormat="1" applyFont="1" applyBorder="1" applyAlignment="1">
      <alignment horizontal="center" vertical="center"/>
    </xf>
    <xf numFmtId="177" fontId="0" fillId="0" borderId="3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pane ySplit="2" topLeftCell="A6" activePane="bottomLeft" state="frozen"/>
      <selection pane="bottomLeft" activeCell="M32" sqref="M32"/>
    </sheetView>
  </sheetViews>
  <sheetFormatPr defaultRowHeight="15"/>
  <cols>
    <col min="1" max="1" width="27.28515625" customWidth="1"/>
    <col min="2" max="2" width="13" style="17" customWidth="1"/>
    <col min="3" max="3" width="12.28515625" style="6" customWidth="1"/>
    <col min="4" max="4" width="11.85546875" customWidth="1"/>
    <col min="5" max="5" width="12.140625" customWidth="1"/>
    <col min="7" max="7" width="9.5703125" bestFit="1" customWidth="1"/>
    <col min="10" max="10" width="19.28515625" customWidth="1"/>
    <col min="11" max="11" width="14.7109375" bestFit="1" customWidth="1"/>
    <col min="12" max="12" width="16.85546875" bestFit="1" customWidth="1"/>
    <col min="13" max="13" width="14" bestFit="1" customWidth="1"/>
    <col min="14" max="14" width="20.85546875" customWidth="1"/>
  </cols>
  <sheetData>
    <row r="1" spans="1:14" ht="23.25" customHeight="1">
      <c r="A1" s="52" t="s">
        <v>0</v>
      </c>
      <c r="B1" s="43" t="s">
        <v>1</v>
      </c>
      <c r="C1" s="43" t="s">
        <v>2</v>
      </c>
      <c r="D1" s="43" t="s">
        <v>3</v>
      </c>
      <c r="E1" s="44" t="s">
        <v>4</v>
      </c>
      <c r="F1" s="45"/>
      <c r="G1" s="45"/>
    </row>
    <row r="2" spans="1:14" ht="30.75" customHeight="1">
      <c r="A2" s="53"/>
      <c r="B2" s="43"/>
      <c r="C2" s="54"/>
      <c r="D2" s="43"/>
      <c r="E2" s="13" t="s">
        <v>5</v>
      </c>
      <c r="F2" s="13" t="s">
        <v>6</v>
      </c>
      <c r="G2" s="13" t="s">
        <v>7</v>
      </c>
    </row>
    <row r="3" spans="1:14" ht="15" customHeight="1">
      <c r="A3" s="55" t="s">
        <v>8</v>
      </c>
      <c r="B3" s="49">
        <v>94900</v>
      </c>
      <c r="C3" s="5">
        <v>2013</v>
      </c>
      <c r="D3" s="1">
        <v>80</v>
      </c>
      <c r="E3" s="1">
        <v>16</v>
      </c>
      <c r="F3" s="1"/>
      <c r="G3" s="1"/>
    </row>
    <row r="4" spans="1:14" ht="15" customHeight="1">
      <c r="A4" s="56"/>
      <c r="B4" s="50"/>
      <c r="C4" s="1">
        <v>2018</v>
      </c>
      <c r="D4" s="3">
        <v>200</v>
      </c>
      <c r="E4" s="2">
        <v>20</v>
      </c>
      <c r="F4" s="3">
        <v>16</v>
      </c>
      <c r="G4" s="3">
        <v>23</v>
      </c>
    </row>
    <row r="5" spans="1:14" ht="15" customHeight="1">
      <c r="A5" s="57"/>
      <c r="B5" s="51"/>
      <c r="C5" s="1">
        <v>2024</v>
      </c>
      <c r="D5" s="3">
        <v>38</v>
      </c>
      <c r="E5" s="2">
        <v>18</v>
      </c>
      <c r="F5" s="3"/>
      <c r="G5" s="3"/>
    </row>
    <row r="6" spans="1:14" ht="15" customHeight="1">
      <c r="A6" s="55" t="s">
        <v>9</v>
      </c>
      <c r="B6" s="49">
        <v>101200</v>
      </c>
      <c r="C6" s="1">
        <v>2010</v>
      </c>
      <c r="D6" s="3">
        <v>80</v>
      </c>
      <c r="E6" s="2">
        <v>20</v>
      </c>
      <c r="F6" s="3"/>
      <c r="G6" s="3"/>
      <c r="N6" s="29" t="s">
        <v>10</v>
      </c>
    </row>
    <row r="7" spans="1:14" ht="15" customHeight="1">
      <c r="A7" s="56"/>
      <c r="B7" s="50"/>
      <c r="C7" s="1">
        <v>2013</v>
      </c>
      <c r="D7" s="3">
        <v>100</v>
      </c>
      <c r="E7" s="2">
        <v>43</v>
      </c>
      <c r="F7" s="3"/>
      <c r="G7" s="3"/>
      <c r="I7" s="8">
        <v>2010</v>
      </c>
      <c r="J7" s="8" t="s">
        <v>11</v>
      </c>
      <c r="K7" s="8" t="s">
        <v>12</v>
      </c>
      <c r="L7" s="8" t="s">
        <v>13</v>
      </c>
      <c r="M7" s="8" t="s">
        <v>14</v>
      </c>
      <c r="N7" s="22">
        <v>45000000</v>
      </c>
    </row>
    <row r="8" spans="1:14" ht="15" customHeight="1">
      <c r="A8" s="56"/>
      <c r="B8" s="50"/>
      <c r="C8" s="5">
        <v>2016</v>
      </c>
      <c r="D8" s="3">
        <v>80</v>
      </c>
      <c r="E8" s="2">
        <v>20</v>
      </c>
      <c r="F8" s="3"/>
      <c r="G8" s="3"/>
      <c r="I8" s="8">
        <v>2011</v>
      </c>
      <c r="J8" s="8" t="s">
        <v>15</v>
      </c>
      <c r="K8" s="8" t="s">
        <v>16</v>
      </c>
      <c r="L8" s="8" t="s">
        <v>13</v>
      </c>
      <c r="M8" s="8" t="s">
        <v>17</v>
      </c>
      <c r="N8" s="23">
        <v>40000000</v>
      </c>
    </row>
    <row r="9" spans="1:14" ht="15" customHeight="1">
      <c r="A9" s="56"/>
      <c r="B9" s="50"/>
      <c r="C9" s="1">
        <v>2022</v>
      </c>
      <c r="D9" s="3">
        <v>168</v>
      </c>
      <c r="E9" s="2">
        <v>24</v>
      </c>
      <c r="F9" s="3">
        <v>29</v>
      </c>
      <c r="G9" s="3"/>
      <c r="I9" s="8">
        <v>2012</v>
      </c>
      <c r="J9" s="8" t="s">
        <v>18</v>
      </c>
      <c r="K9" s="8" t="s">
        <v>19</v>
      </c>
      <c r="L9" s="8" t="s">
        <v>20</v>
      </c>
      <c r="M9" s="8" t="s">
        <v>12</v>
      </c>
      <c r="N9" s="23">
        <v>40000000</v>
      </c>
    </row>
    <row r="10" spans="1:14" ht="15" customHeight="1">
      <c r="A10" s="57"/>
      <c r="B10" s="51"/>
      <c r="C10" s="1">
        <v>2025</v>
      </c>
      <c r="D10" s="3">
        <v>67</v>
      </c>
      <c r="E10" s="2">
        <v>27</v>
      </c>
      <c r="F10" s="3"/>
      <c r="G10" s="3"/>
      <c r="I10" s="8"/>
      <c r="J10" s="8"/>
      <c r="K10" s="8"/>
      <c r="L10" s="8"/>
      <c r="M10" s="8"/>
      <c r="N10" s="23"/>
    </row>
    <row r="11" spans="1:14" ht="15" customHeight="1">
      <c r="A11" s="46" t="s">
        <v>21</v>
      </c>
      <c r="B11" s="49">
        <v>83800</v>
      </c>
      <c r="C11" s="1">
        <v>2012</v>
      </c>
      <c r="D11" s="3">
        <v>50</v>
      </c>
      <c r="E11" s="3">
        <v>15</v>
      </c>
      <c r="F11" s="3"/>
      <c r="G11" s="3"/>
      <c r="I11" s="8">
        <v>2013</v>
      </c>
      <c r="J11" s="7" t="s">
        <v>22</v>
      </c>
      <c r="K11" s="7" t="s">
        <v>11</v>
      </c>
      <c r="L11" s="7" t="s">
        <v>14</v>
      </c>
      <c r="M11" s="8" t="s">
        <v>23</v>
      </c>
      <c r="N11" s="24">
        <v>50820240</v>
      </c>
    </row>
    <row r="12" spans="1:14" ht="15" customHeight="1">
      <c r="A12" s="47"/>
      <c r="B12" s="50"/>
      <c r="C12" s="1">
        <v>2017</v>
      </c>
      <c r="D12" s="3">
        <v>200</v>
      </c>
      <c r="E12" s="3">
        <v>50</v>
      </c>
      <c r="F12" s="3">
        <v>61</v>
      </c>
      <c r="G12" s="3"/>
      <c r="I12" s="8">
        <v>2014</v>
      </c>
      <c r="J12" s="8" t="s">
        <v>17</v>
      </c>
      <c r="K12" s="8" t="s">
        <v>15</v>
      </c>
      <c r="L12" s="8" t="s">
        <v>13</v>
      </c>
      <c r="M12" s="8"/>
      <c r="N12" s="25">
        <v>45000000</v>
      </c>
    </row>
    <row r="13" spans="1:14" ht="15" customHeight="1">
      <c r="A13" s="48"/>
      <c r="B13" s="51"/>
      <c r="C13" s="1">
        <v>2023</v>
      </c>
      <c r="D13" s="3">
        <v>200</v>
      </c>
      <c r="E13" s="3">
        <v>35</v>
      </c>
      <c r="F13" s="3"/>
      <c r="G13" s="3"/>
      <c r="I13" s="8">
        <v>2015</v>
      </c>
      <c r="J13" s="8" t="s">
        <v>24</v>
      </c>
      <c r="K13" s="8" t="s">
        <v>19</v>
      </c>
      <c r="L13" s="8" t="s">
        <v>25</v>
      </c>
      <c r="M13" s="8" t="s">
        <v>26</v>
      </c>
      <c r="N13" s="24">
        <v>66420000</v>
      </c>
    </row>
    <row r="14" spans="1:14" ht="28.5" customHeight="1">
      <c r="A14" s="14" t="s">
        <v>27</v>
      </c>
      <c r="B14" s="18">
        <v>60800</v>
      </c>
      <c r="C14" s="5">
        <v>2015</v>
      </c>
      <c r="D14" s="3">
        <v>90</v>
      </c>
      <c r="E14" s="3">
        <v>39</v>
      </c>
      <c r="F14" s="3"/>
      <c r="G14" s="3"/>
      <c r="I14" s="8">
        <v>2016</v>
      </c>
      <c r="J14" s="8" t="s">
        <v>14</v>
      </c>
      <c r="K14" s="8" t="s">
        <v>13</v>
      </c>
      <c r="L14" s="8" t="s">
        <v>12</v>
      </c>
      <c r="M14" s="8" t="s">
        <v>11</v>
      </c>
      <c r="N14" s="26">
        <v>67797680</v>
      </c>
    </row>
    <row r="15" spans="1:14" ht="15" customHeight="1">
      <c r="A15" s="58" t="s">
        <v>28</v>
      </c>
      <c r="B15" s="49">
        <v>60900</v>
      </c>
      <c r="C15" s="1">
        <v>2011</v>
      </c>
      <c r="D15" s="3">
        <v>60</v>
      </c>
      <c r="E15" s="2">
        <v>18</v>
      </c>
      <c r="F15" s="3"/>
      <c r="G15" s="3"/>
      <c r="I15" s="8">
        <v>2017</v>
      </c>
      <c r="J15" s="8" t="s">
        <v>18</v>
      </c>
      <c r="K15" s="8" t="s">
        <v>29</v>
      </c>
      <c r="L15" s="8" t="s">
        <v>16</v>
      </c>
      <c r="M15" s="8" t="s">
        <v>30</v>
      </c>
      <c r="N15" s="26">
        <v>49622000</v>
      </c>
    </row>
    <row r="16" spans="1:14" ht="15" customHeight="1">
      <c r="A16" s="59"/>
      <c r="B16" s="50"/>
      <c r="C16" s="1">
        <v>2014</v>
      </c>
      <c r="D16" s="3">
        <v>60</v>
      </c>
      <c r="E16" s="2">
        <v>35</v>
      </c>
      <c r="F16" s="3"/>
      <c r="G16" s="3"/>
      <c r="I16" s="8">
        <v>2018</v>
      </c>
      <c r="J16" s="8" t="s">
        <v>22</v>
      </c>
      <c r="K16" s="8" t="s">
        <v>17</v>
      </c>
      <c r="L16" s="8" t="s">
        <v>15</v>
      </c>
      <c r="M16" s="8" t="s">
        <v>20</v>
      </c>
      <c r="N16" s="26">
        <v>80747860</v>
      </c>
    </row>
    <row r="17" spans="1:14" ht="15" customHeight="1">
      <c r="A17" s="59"/>
      <c r="B17" s="50"/>
      <c r="C17" s="1">
        <v>2018</v>
      </c>
      <c r="D17" s="3">
        <v>180</v>
      </c>
      <c r="E17" s="2">
        <v>23</v>
      </c>
      <c r="F17" s="3">
        <v>27</v>
      </c>
      <c r="G17" s="3"/>
      <c r="I17" s="8">
        <v>2019</v>
      </c>
      <c r="J17" s="8" t="s">
        <v>19</v>
      </c>
      <c r="K17" s="8" t="s">
        <v>26</v>
      </c>
      <c r="L17" s="8" t="s">
        <v>14</v>
      </c>
      <c r="M17" s="8"/>
      <c r="N17" s="26">
        <v>67725303</v>
      </c>
    </row>
    <row r="18" spans="1:14" ht="15" customHeight="1">
      <c r="A18" s="60"/>
      <c r="B18" s="51"/>
      <c r="C18" s="1">
        <v>2023</v>
      </c>
      <c r="D18" s="3">
        <v>50</v>
      </c>
      <c r="E18" s="2">
        <v>15</v>
      </c>
      <c r="F18" s="3"/>
      <c r="G18" s="3"/>
      <c r="I18" s="8">
        <v>2020</v>
      </c>
      <c r="J18" s="61" t="s">
        <v>31</v>
      </c>
      <c r="K18" s="62"/>
      <c r="L18" s="62"/>
      <c r="M18" s="63"/>
      <c r="N18" s="26">
        <v>4648300</v>
      </c>
    </row>
    <row r="19" spans="1:14" ht="28.5" customHeight="1">
      <c r="A19" s="15" t="s">
        <v>32</v>
      </c>
      <c r="B19" s="19">
        <v>12300</v>
      </c>
      <c r="C19" s="11"/>
      <c r="D19" s="12"/>
      <c r="E19" s="12"/>
      <c r="F19" s="12"/>
      <c r="G19" s="12"/>
      <c r="I19" s="8">
        <v>2021</v>
      </c>
      <c r="J19" s="64"/>
      <c r="K19" s="65"/>
      <c r="L19" s="65"/>
      <c r="M19" s="66"/>
    </row>
    <row r="20" spans="1:14" ht="15" customHeight="1">
      <c r="A20" s="15" t="s">
        <v>33</v>
      </c>
      <c r="B20" s="19">
        <v>87800</v>
      </c>
      <c r="C20" s="11"/>
      <c r="D20" s="12"/>
      <c r="E20" s="12"/>
      <c r="F20" s="12"/>
      <c r="G20" s="12"/>
      <c r="I20" s="8">
        <v>2022</v>
      </c>
      <c r="J20" s="8" t="s">
        <v>34</v>
      </c>
      <c r="K20" s="8" t="s">
        <v>35</v>
      </c>
      <c r="L20" s="8" t="s">
        <v>36</v>
      </c>
      <c r="M20" s="8"/>
      <c r="N20" s="27">
        <v>82523635</v>
      </c>
    </row>
    <row r="21" spans="1:14" ht="30.75" customHeight="1">
      <c r="A21" s="14" t="s">
        <v>37</v>
      </c>
      <c r="B21" s="18">
        <v>52500</v>
      </c>
      <c r="C21" s="5">
        <v>2017</v>
      </c>
      <c r="D21" s="3">
        <v>50</v>
      </c>
      <c r="E21" s="3">
        <v>30</v>
      </c>
      <c r="F21" s="3"/>
      <c r="G21" s="3"/>
      <c r="I21" s="8">
        <v>2023</v>
      </c>
      <c r="J21" s="8" t="s">
        <v>38</v>
      </c>
      <c r="K21" s="8" t="s">
        <v>39</v>
      </c>
      <c r="L21" s="8" t="s">
        <v>40</v>
      </c>
      <c r="M21" s="8" t="s">
        <v>41</v>
      </c>
      <c r="N21" s="26">
        <v>78796942</v>
      </c>
    </row>
    <row r="22" spans="1:14" ht="15" customHeight="1">
      <c r="A22" s="58" t="s">
        <v>42</v>
      </c>
      <c r="B22" s="49">
        <v>73700</v>
      </c>
      <c r="C22" s="1">
        <v>2012</v>
      </c>
      <c r="D22" s="3">
        <v>50</v>
      </c>
      <c r="E22" s="2">
        <v>16</v>
      </c>
      <c r="F22" s="3"/>
      <c r="G22" s="3"/>
      <c r="I22" s="8">
        <v>2024</v>
      </c>
      <c r="J22" s="4" t="s">
        <v>43</v>
      </c>
      <c r="K22" s="4" t="s">
        <v>44</v>
      </c>
      <c r="L22" s="4"/>
      <c r="M22" s="4"/>
      <c r="N22" s="32">
        <v>49950000</v>
      </c>
    </row>
    <row r="23" spans="1:14" ht="15" customHeight="1">
      <c r="A23" s="59"/>
      <c r="B23" s="50"/>
      <c r="C23" s="1">
        <v>2015</v>
      </c>
      <c r="D23" s="3">
        <v>70</v>
      </c>
      <c r="E23" s="2">
        <v>24</v>
      </c>
      <c r="F23" s="3"/>
      <c r="G23" s="3"/>
      <c r="I23" s="8">
        <v>2025</v>
      </c>
      <c r="J23" s="4" t="s">
        <v>45</v>
      </c>
      <c r="K23" s="4" t="s">
        <v>46</v>
      </c>
      <c r="L23" s="4"/>
      <c r="M23" s="31"/>
      <c r="N23" s="30"/>
    </row>
    <row r="24" spans="1:14" ht="15" customHeight="1">
      <c r="A24" s="60"/>
      <c r="B24" s="51"/>
      <c r="C24" s="1">
        <v>2019</v>
      </c>
      <c r="D24" s="3">
        <v>150</v>
      </c>
      <c r="E24" s="2">
        <v>26</v>
      </c>
      <c r="F24" s="3"/>
      <c r="G24" s="3">
        <v>30</v>
      </c>
      <c r="N24" s="28">
        <f>SUM(N7:N23)</f>
        <v>769051960</v>
      </c>
    </row>
    <row r="25" spans="1:14" ht="26.25" customHeight="1">
      <c r="A25" s="14" t="s">
        <v>47</v>
      </c>
      <c r="B25" s="18">
        <v>49900</v>
      </c>
      <c r="C25" s="5">
        <v>2013</v>
      </c>
      <c r="D25" s="3">
        <v>50</v>
      </c>
      <c r="E25" s="3">
        <v>14</v>
      </c>
      <c r="F25" s="3"/>
      <c r="G25" s="3"/>
    </row>
    <row r="26" spans="1:14" ht="15" customHeight="1">
      <c r="A26" s="55" t="s">
        <v>48</v>
      </c>
      <c r="B26" s="49">
        <v>80700</v>
      </c>
      <c r="C26" s="1">
        <v>2011</v>
      </c>
      <c r="D26" s="3">
        <v>50</v>
      </c>
      <c r="E26" s="2">
        <v>16</v>
      </c>
      <c r="F26" s="3"/>
      <c r="G26" s="3"/>
    </row>
    <row r="27" spans="1:14" ht="15" customHeight="1">
      <c r="A27" s="56"/>
      <c r="B27" s="50"/>
      <c r="C27" s="1">
        <v>2014</v>
      </c>
      <c r="D27" s="3">
        <v>80</v>
      </c>
      <c r="E27" s="2">
        <v>39</v>
      </c>
      <c r="F27" s="3"/>
      <c r="G27" s="3"/>
    </row>
    <row r="28" spans="1:14" ht="15" customHeight="1">
      <c r="A28" s="56"/>
      <c r="B28" s="50"/>
      <c r="C28" s="1">
        <v>2018</v>
      </c>
      <c r="D28" s="3">
        <v>80</v>
      </c>
      <c r="E28" s="2">
        <v>22</v>
      </c>
      <c r="F28" s="3"/>
      <c r="G28" s="3"/>
    </row>
    <row r="29" spans="1:14" ht="15" customHeight="1">
      <c r="A29" s="57"/>
      <c r="B29" s="51"/>
      <c r="C29" s="1">
        <v>2025</v>
      </c>
      <c r="D29" s="3">
        <v>96</v>
      </c>
      <c r="E29" s="2">
        <v>23</v>
      </c>
      <c r="F29" s="3">
        <v>25</v>
      </c>
      <c r="G29" s="3"/>
    </row>
    <row r="30" spans="1:14" ht="15" customHeight="1">
      <c r="A30" s="58" t="s">
        <v>49</v>
      </c>
      <c r="B30" s="49">
        <v>78400</v>
      </c>
      <c r="C30" s="1">
        <v>2011</v>
      </c>
      <c r="D30" s="3">
        <v>50</v>
      </c>
      <c r="E30" s="3">
        <v>16</v>
      </c>
      <c r="F30" s="3"/>
      <c r="G30" s="3"/>
    </row>
    <row r="31" spans="1:14" ht="15" customHeight="1">
      <c r="A31" s="59"/>
      <c r="B31" s="50"/>
      <c r="C31" s="1">
        <v>2017</v>
      </c>
      <c r="D31" s="3">
        <v>60</v>
      </c>
      <c r="E31" s="3">
        <v>37</v>
      </c>
      <c r="F31" s="3"/>
      <c r="G31" s="3"/>
    </row>
    <row r="32" spans="1:14" ht="15" customHeight="1">
      <c r="A32" s="60"/>
      <c r="B32" s="51"/>
      <c r="C32" s="1">
        <v>2023</v>
      </c>
      <c r="D32" s="3">
        <v>42</v>
      </c>
      <c r="E32" s="3">
        <v>25</v>
      </c>
      <c r="F32" s="3"/>
      <c r="G32" s="3"/>
    </row>
    <row r="33" spans="1:7" ht="28.5" customHeight="1">
      <c r="A33" s="14" t="s">
        <v>50</v>
      </c>
      <c r="B33" s="18">
        <v>113200</v>
      </c>
      <c r="C33" s="5">
        <v>2015</v>
      </c>
      <c r="D33" s="3">
        <v>70</v>
      </c>
      <c r="E33" s="3">
        <v>39</v>
      </c>
      <c r="F33" s="3"/>
      <c r="G33" s="3"/>
    </row>
    <row r="34" spans="1:7" ht="15" customHeight="1">
      <c r="A34" s="58" t="s">
        <v>51</v>
      </c>
      <c r="B34" s="49">
        <v>46800</v>
      </c>
      <c r="C34" s="1">
        <v>2012</v>
      </c>
      <c r="D34" s="3">
        <v>40</v>
      </c>
      <c r="E34" s="2">
        <v>15</v>
      </c>
      <c r="F34" s="3"/>
      <c r="G34" s="3"/>
    </row>
    <row r="35" spans="1:7" ht="15" customHeight="1">
      <c r="A35" s="60"/>
      <c r="B35" s="51"/>
      <c r="C35" s="1">
        <v>2018</v>
      </c>
      <c r="D35" s="3">
        <v>130</v>
      </c>
      <c r="E35" s="2">
        <v>17</v>
      </c>
      <c r="F35" s="3"/>
      <c r="G35" s="3">
        <v>26</v>
      </c>
    </row>
    <row r="36" spans="1:7" ht="15" customHeight="1">
      <c r="A36" s="58" t="s">
        <v>52</v>
      </c>
      <c r="B36" s="49">
        <v>56600</v>
      </c>
      <c r="C36" s="1">
        <v>2010</v>
      </c>
      <c r="D36" s="3">
        <v>50</v>
      </c>
      <c r="E36" s="2">
        <v>15</v>
      </c>
      <c r="F36" s="3"/>
      <c r="G36" s="3"/>
    </row>
    <row r="37" spans="1:7" ht="15" customHeight="1">
      <c r="A37" s="59"/>
      <c r="B37" s="50"/>
      <c r="C37" s="1">
        <v>2012</v>
      </c>
      <c r="D37" s="3">
        <v>70</v>
      </c>
      <c r="E37" s="2">
        <v>23</v>
      </c>
      <c r="F37" s="3"/>
      <c r="G37" s="3"/>
    </row>
    <row r="38" spans="1:7" ht="15" customHeight="1">
      <c r="A38" s="59"/>
      <c r="B38" s="50"/>
      <c r="C38" s="1">
        <v>2016</v>
      </c>
      <c r="D38" s="3">
        <v>50</v>
      </c>
      <c r="E38" s="2">
        <v>14</v>
      </c>
      <c r="F38" s="3"/>
      <c r="G38" s="3"/>
    </row>
    <row r="39" spans="1:7" ht="15" customHeight="1">
      <c r="A39" s="60"/>
      <c r="B39" s="51"/>
      <c r="C39" s="1">
        <v>2022</v>
      </c>
      <c r="D39" s="3">
        <v>120</v>
      </c>
      <c r="E39" s="2">
        <v>20</v>
      </c>
      <c r="F39" s="3"/>
      <c r="G39" s="3">
        <v>14</v>
      </c>
    </row>
    <row r="40" spans="1:7" ht="15" customHeight="1">
      <c r="A40" s="15" t="s">
        <v>53</v>
      </c>
      <c r="B40" s="19">
        <v>100800</v>
      </c>
      <c r="C40" s="11"/>
      <c r="D40" s="12"/>
      <c r="E40" s="12"/>
      <c r="F40" s="12"/>
      <c r="G40" s="12"/>
    </row>
    <row r="41" spans="1:7" ht="15" customHeight="1">
      <c r="A41" s="16" t="s">
        <v>54</v>
      </c>
      <c r="B41" s="19">
        <v>88900</v>
      </c>
      <c r="C41" s="11"/>
      <c r="D41" s="12"/>
      <c r="E41" s="12"/>
      <c r="F41" s="12"/>
      <c r="G41" s="12"/>
    </row>
    <row r="42" spans="1:7" ht="15" customHeight="1">
      <c r="A42" s="55" t="s">
        <v>55</v>
      </c>
      <c r="B42" s="49">
        <v>83100</v>
      </c>
      <c r="C42" s="1">
        <v>2010</v>
      </c>
      <c r="D42" s="3">
        <v>60</v>
      </c>
      <c r="E42" s="3">
        <v>15</v>
      </c>
      <c r="F42" s="3"/>
      <c r="G42" s="3"/>
    </row>
    <row r="43" spans="1:7" ht="15" customHeight="1">
      <c r="A43" s="56"/>
      <c r="B43" s="50"/>
      <c r="C43" s="1">
        <v>2016</v>
      </c>
      <c r="D43" s="3">
        <v>60</v>
      </c>
      <c r="E43" s="3">
        <v>15</v>
      </c>
      <c r="F43" s="3"/>
      <c r="G43" s="3"/>
    </row>
    <row r="44" spans="1:7" ht="15" customHeight="1">
      <c r="A44" s="56"/>
      <c r="B44" s="50"/>
      <c r="C44" s="1">
        <v>2011</v>
      </c>
      <c r="D44" s="3">
        <v>50</v>
      </c>
      <c r="E44" s="3">
        <v>15</v>
      </c>
      <c r="F44" s="3"/>
      <c r="G44" s="3"/>
    </row>
    <row r="45" spans="1:7" ht="15" customHeight="1">
      <c r="A45" s="56"/>
      <c r="B45" s="50"/>
      <c r="C45" s="1">
        <v>2014</v>
      </c>
      <c r="D45" s="3">
        <v>60</v>
      </c>
      <c r="E45" s="3">
        <v>36</v>
      </c>
      <c r="F45" s="3"/>
      <c r="G45" s="3"/>
    </row>
    <row r="46" spans="1:7" ht="15" customHeight="1">
      <c r="A46" s="57"/>
      <c r="B46" s="51"/>
      <c r="C46" s="1">
        <v>2024</v>
      </c>
      <c r="D46" s="3">
        <v>51</v>
      </c>
      <c r="E46" s="3">
        <v>17</v>
      </c>
      <c r="F46" s="3"/>
      <c r="G46" s="3"/>
    </row>
    <row r="47" spans="1:7" ht="15" customHeight="1">
      <c r="A47" s="58" t="s">
        <v>56</v>
      </c>
      <c r="B47" s="49">
        <v>87800</v>
      </c>
      <c r="C47" s="1">
        <v>2015</v>
      </c>
      <c r="D47" s="3">
        <v>60</v>
      </c>
      <c r="E47" s="2">
        <v>15</v>
      </c>
      <c r="F47" s="3"/>
      <c r="G47" s="3"/>
    </row>
    <row r="48" spans="1:7" ht="15" customHeight="1">
      <c r="A48" s="67"/>
      <c r="B48" s="50"/>
      <c r="C48" s="1">
        <v>2019</v>
      </c>
      <c r="D48" s="3">
        <v>75</v>
      </c>
      <c r="E48" s="2">
        <v>24</v>
      </c>
      <c r="F48" s="3"/>
      <c r="G48" s="3"/>
    </row>
    <row r="49" spans="1:7" ht="15" customHeight="1">
      <c r="A49" s="68"/>
      <c r="B49" s="51"/>
      <c r="C49" s="1">
        <v>2022</v>
      </c>
      <c r="D49" s="3">
        <v>62</v>
      </c>
      <c r="E49" s="2">
        <v>19</v>
      </c>
      <c r="F49" s="3"/>
      <c r="G49" s="3"/>
    </row>
    <row r="50" spans="1:7" ht="15" customHeight="1">
      <c r="A50" s="58" t="s">
        <v>57</v>
      </c>
      <c r="B50" s="49">
        <v>121400</v>
      </c>
      <c r="C50" s="1">
        <v>2010</v>
      </c>
      <c r="D50" s="3">
        <v>70</v>
      </c>
      <c r="E50" s="2">
        <v>15</v>
      </c>
      <c r="F50" s="3"/>
      <c r="G50" s="3"/>
    </row>
    <row r="51" spans="1:7" ht="15" customHeight="1">
      <c r="A51" s="59"/>
      <c r="B51" s="50"/>
      <c r="C51" s="1">
        <v>2013</v>
      </c>
      <c r="D51" s="3">
        <v>80</v>
      </c>
      <c r="E51" s="2">
        <v>29</v>
      </c>
      <c r="F51" s="3"/>
      <c r="G51" s="3"/>
    </row>
    <row r="52" spans="1:7" ht="15" customHeight="1">
      <c r="A52" s="59"/>
      <c r="B52" s="50"/>
      <c r="C52" s="1">
        <v>2016</v>
      </c>
      <c r="D52" s="3">
        <v>70</v>
      </c>
      <c r="E52" s="2">
        <v>20</v>
      </c>
      <c r="F52" s="3"/>
      <c r="G52" s="3"/>
    </row>
    <row r="53" spans="1:7" ht="15" customHeight="1">
      <c r="A53" s="59"/>
      <c r="B53" s="50"/>
      <c r="C53" s="1">
        <v>2019</v>
      </c>
      <c r="D53" s="3">
        <v>140</v>
      </c>
      <c r="E53" s="2">
        <v>28</v>
      </c>
      <c r="F53" s="3">
        <v>18</v>
      </c>
      <c r="G53" s="3"/>
    </row>
    <row r="54" spans="1:7" ht="15" customHeight="1">
      <c r="A54" s="60"/>
      <c r="B54" s="51"/>
      <c r="C54" s="1">
        <v>2023</v>
      </c>
      <c r="D54" s="3">
        <v>60</v>
      </c>
      <c r="E54" s="2">
        <v>30</v>
      </c>
      <c r="F54" s="3"/>
      <c r="G54" s="3"/>
    </row>
    <row r="55" spans="1:7" ht="15" customHeight="1">
      <c r="A55" s="14" t="s">
        <v>58</v>
      </c>
      <c r="B55" s="18">
        <v>71200</v>
      </c>
      <c r="C55" s="5">
        <v>2017</v>
      </c>
      <c r="D55" s="3">
        <v>150</v>
      </c>
      <c r="E55" s="3">
        <v>30</v>
      </c>
      <c r="F55" s="3">
        <v>41</v>
      </c>
      <c r="G55" s="3"/>
    </row>
    <row r="56" spans="1:7">
      <c r="C56" s="6">
        <v>49</v>
      </c>
      <c r="D56">
        <f>SUM(D3:D55)</f>
        <v>4109</v>
      </c>
      <c r="E56">
        <f>SUM(E3:E55)</f>
        <v>1157</v>
      </c>
      <c r="F56">
        <f>SUM(F4:F55)</f>
        <v>217</v>
      </c>
      <c r="G56">
        <f>SUM(G4:G55)</f>
        <v>93</v>
      </c>
    </row>
  </sheetData>
  <mergeCells count="30">
    <mergeCell ref="J18:M19"/>
    <mergeCell ref="A47:A49"/>
    <mergeCell ref="B47:B49"/>
    <mergeCell ref="A30:A32"/>
    <mergeCell ref="B30:B32"/>
    <mergeCell ref="A22:A24"/>
    <mergeCell ref="B22:B24"/>
    <mergeCell ref="A15:A18"/>
    <mergeCell ref="B15:B18"/>
    <mergeCell ref="A42:A46"/>
    <mergeCell ref="B42:B46"/>
    <mergeCell ref="A26:A29"/>
    <mergeCell ref="B26:B29"/>
    <mergeCell ref="A50:A54"/>
    <mergeCell ref="B50:B54"/>
    <mergeCell ref="A34:A35"/>
    <mergeCell ref="B34:B35"/>
    <mergeCell ref="A36:A39"/>
    <mergeCell ref="B36:B39"/>
    <mergeCell ref="D1:D2"/>
    <mergeCell ref="E1:G1"/>
    <mergeCell ref="A11:A13"/>
    <mergeCell ref="B11:B13"/>
    <mergeCell ref="A1:A2"/>
    <mergeCell ref="B1:B2"/>
    <mergeCell ref="C1:C2"/>
    <mergeCell ref="A3:A5"/>
    <mergeCell ref="B3:B5"/>
    <mergeCell ref="A6:A10"/>
    <mergeCell ref="B6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2" sqref="D2"/>
    </sheetView>
  </sheetViews>
  <sheetFormatPr defaultRowHeight="15"/>
  <cols>
    <col min="1" max="1" width="22.85546875" bestFit="1" customWidth="1"/>
    <col min="3" max="3" width="31.7109375" bestFit="1" customWidth="1"/>
    <col min="4" max="4" width="15" bestFit="1" customWidth="1"/>
    <col min="5" max="5" width="10.140625" bestFit="1" customWidth="1"/>
  </cols>
  <sheetData>
    <row r="1" spans="1:5" ht="21.75" customHeight="1">
      <c r="A1" s="20" t="s">
        <v>59</v>
      </c>
      <c r="B1" s="20" t="s">
        <v>60</v>
      </c>
      <c r="C1" s="20" t="s">
        <v>61</v>
      </c>
      <c r="D1" s="20" t="s">
        <v>62</v>
      </c>
      <c r="E1" s="20" t="s">
        <v>63</v>
      </c>
    </row>
    <row r="2" spans="1:5">
      <c r="A2" s="4" t="s">
        <v>64</v>
      </c>
      <c r="B2" s="4">
        <v>30</v>
      </c>
      <c r="C2" s="4" t="s">
        <v>65</v>
      </c>
      <c r="D2" s="4" t="s">
        <v>66</v>
      </c>
      <c r="E2" s="4" t="s">
        <v>67</v>
      </c>
    </row>
    <row r="3" spans="1:5">
      <c r="A3" s="4" t="s">
        <v>68</v>
      </c>
      <c r="B3" s="4">
        <v>1</v>
      </c>
      <c r="C3" s="4" t="s">
        <v>69</v>
      </c>
      <c r="D3" s="4">
        <v>2022</v>
      </c>
      <c r="E3" s="4" t="s">
        <v>67</v>
      </c>
    </row>
    <row r="4" spans="1:5">
      <c r="A4" s="4" t="s">
        <v>70</v>
      </c>
      <c r="B4" s="4">
        <v>4</v>
      </c>
      <c r="C4" s="4" t="s">
        <v>71</v>
      </c>
      <c r="D4" s="4"/>
      <c r="E4" s="4" t="s">
        <v>67</v>
      </c>
    </row>
    <row r="5" spans="1:5">
      <c r="A5" s="4" t="s">
        <v>72</v>
      </c>
      <c r="B5" s="4">
        <v>4</v>
      </c>
      <c r="C5" s="4" t="s">
        <v>69</v>
      </c>
      <c r="D5" s="4">
        <v>2022</v>
      </c>
      <c r="E5" s="4" t="s">
        <v>67</v>
      </c>
    </row>
    <row r="6" spans="1:5">
      <c r="A6" s="4" t="s">
        <v>73</v>
      </c>
      <c r="B6" s="4">
        <v>2</v>
      </c>
      <c r="C6" s="4" t="s">
        <v>74</v>
      </c>
      <c r="D6" s="4">
        <v>2023</v>
      </c>
      <c r="E6" s="4" t="s">
        <v>67</v>
      </c>
    </row>
    <row r="7" spans="1:5">
      <c r="A7" s="4" t="s">
        <v>75</v>
      </c>
      <c r="B7" s="4">
        <v>1</v>
      </c>
      <c r="C7" s="4" t="s">
        <v>76</v>
      </c>
      <c r="D7" s="4" t="s">
        <v>77</v>
      </c>
      <c r="E7" s="4" t="s">
        <v>78</v>
      </c>
    </row>
    <row r="8" spans="1:5">
      <c r="A8" s="4" t="s">
        <v>79</v>
      </c>
      <c r="B8" s="4">
        <v>1</v>
      </c>
      <c r="C8" s="4" t="s">
        <v>80</v>
      </c>
      <c r="D8" s="4">
        <v>202402</v>
      </c>
      <c r="E8" s="4" t="s">
        <v>67</v>
      </c>
    </row>
    <row r="9" spans="1:5">
      <c r="A9" s="4"/>
      <c r="B9" s="4">
        <f>SUM(B2:B8)</f>
        <v>43</v>
      </c>
      <c r="C9" s="4"/>
      <c r="D9" s="4"/>
      <c r="E9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E18" sqref="E18"/>
    </sheetView>
  </sheetViews>
  <sheetFormatPr defaultRowHeight="15"/>
  <cols>
    <col min="2" max="2" width="35.85546875" customWidth="1"/>
    <col min="3" max="3" width="36.5703125" bestFit="1" customWidth="1"/>
    <col min="4" max="4" width="26.42578125" customWidth="1"/>
    <col min="5" max="5" width="30.85546875" customWidth="1"/>
    <col min="6" max="6" width="27.28515625" customWidth="1"/>
    <col min="7" max="7" width="22.140625" customWidth="1"/>
    <col min="8" max="9" width="23" customWidth="1"/>
  </cols>
  <sheetData>
    <row r="1" spans="1:9" ht="28.5" customHeight="1">
      <c r="A1" s="10" t="s">
        <v>81</v>
      </c>
      <c r="B1" s="10" t="s">
        <v>82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21" t="s">
        <v>88</v>
      </c>
      <c r="I1" s="21" t="s">
        <v>89</v>
      </c>
    </row>
    <row r="2" spans="1:9" ht="35.25" customHeight="1">
      <c r="A2" s="5">
        <v>2019</v>
      </c>
      <c r="B2" s="9" t="s">
        <v>90</v>
      </c>
      <c r="C2" s="4" t="s">
        <v>91</v>
      </c>
      <c r="D2" s="4"/>
      <c r="E2" s="4"/>
      <c r="F2" s="4"/>
      <c r="G2" s="4"/>
      <c r="H2" s="4"/>
      <c r="I2" s="4"/>
    </row>
    <row r="3" spans="1:9">
      <c r="A3" s="5">
        <v>2020</v>
      </c>
      <c r="B3" s="4" t="s">
        <v>92</v>
      </c>
      <c r="C3" s="4" t="s">
        <v>93</v>
      </c>
      <c r="D3" s="4" t="s">
        <v>94</v>
      </c>
      <c r="E3" s="4"/>
      <c r="F3" s="4"/>
      <c r="G3" s="4"/>
      <c r="H3" s="4"/>
      <c r="I3" s="4"/>
    </row>
    <row r="4" spans="1:9" ht="30.75" customHeight="1">
      <c r="A4" s="5">
        <v>2021</v>
      </c>
      <c r="B4" s="9" t="s">
        <v>95</v>
      </c>
      <c r="C4" s="4" t="s">
        <v>96</v>
      </c>
      <c r="D4" s="4" t="s">
        <v>97</v>
      </c>
      <c r="E4" s="9" t="s">
        <v>98</v>
      </c>
      <c r="F4" s="9" t="s">
        <v>99</v>
      </c>
      <c r="G4" s="4"/>
      <c r="H4" s="4"/>
      <c r="I4" s="4"/>
    </row>
    <row r="5" spans="1:9">
      <c r="A5" s="5">
        <v>2022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104</v>
      </c>
      <c r="G5" s="4"/>
      <c r="H5" s="4"/>
      <c r="I5" s="4"/>
    </row>
    <row r="6" spans="1:9" ht="43.5" customHeight="1">
      <c r="A6" s="39">
        <v>2023</v>
      </c>
      <c r="B6" s="34" t="s">
        <v>105</v>
      </c>
      <c r="C6" s="34" t="s">
        <v>106</v>
      </c>
      <c r="D6" s="34" t="s">
        <v>107</v>
      </c>
      <c r="E6" s="34" t="s">
        <v>108</v>
      </c>
      <c r="F6" s="33" t="s">
        <v>109</v>
      </c>
      <c r="G6" s="34" t="s">
        <v>110</v>
      </c>
      <c r="H6" s="34" t="s">
        <v>111</v>
      </c>
      <c r="I6" s="34" t="s">
        <v>112</v>
      </c>
    </row>
    <row r="7" spans="1:9" ht="36.75" customHeight="1">
      <c r="A7" s="40">
        <v>2024</v>
      </c>
      <c r="B7" s="36" t="s">
        <v>113</v>
      </c>
      <c r="C7" s="36" t="s">
        <v>114</v>
      </c>
      <c r="D7" s="36" t="s">
        <v>115</v>
      </c>
      <c r="E7" s="36" t="s">
        <v>116</v>
      </c>
      <c r="F7" s="36" t="s">
        <v>117</v>
      </c>
      <c r="G7" s="36" t="s">
        <v>118</v>
      </c>
      <c r="H7" s="36" t="s">
        <v>119</v>
      </c>
      <c r="I7" s="35"/>
    </row>
    <row r="8" spans="1:9" ht="45">
      <c r="A8" s="41">
        <v>2025</v>
      </c>
      <c r="B8" s="37" t="s">
        <v>120</v>
      </c>
      <c r="C8" s="37" t="s">
        <v>121</v>
      </c>
      <c r="D8" s="37" t="s">
        <v>122</v>
      </c>
      <c r="E8" s="37" t="s">
        <v>123</v>
      </c>
      <c r="F8" s="37" t="s">
        <v>124</v>
      </c>
      <c r="G8" s="37" t="s">
        <v>125</v>
      </c>
      <c r="H8" s="42" t="s">
        <v>126</v>
      </c>
      <c r="I8" s="38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家扶國際室-郭香吟</cp:lastModifiedBy>
  <cp:revision/>
  <dcterms:created xsi:type="dcterms:W3CDTF">2015-06-05T18:17:20Z</dcterms:created>
  <dcterms:modified xsi:type="dcterms:W3CDTF">2026-04-14T03:54:59Z</dcterms:modified>
  <cp:category/>
  <cp:contentStatus/>
</cp:coreProperties>
</file>